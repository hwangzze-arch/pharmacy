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6" authorId="0">
      <text>
        <r>
          <rPr>
            <sz val="10"/>
            <rFont val="Arial"/>
            <family val="2"/>
          </rPr>
          <t xml:space="preserve">0.00 mL</t>
        </r>
        <r>
          <rPr>
            <sz val="10"/>
            <rFont val="WenQuanYi Zen Hei"/>
            <family val="2"/>
          </rPr>
          <t xml:space="preserve">에서 시작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빈 플라스크</t>
        </r>
        <r>
          <rPr>
            <sz val="10"/>
            <rFont val="Arial"/>
            <family val="2"/>
          </rPr>
          <t xml:space="preserve">)</t>
        </r>
      </text>
    </comment>
    <comment ref="B10" authorId="0">
      <text>
        <r>
          <rPr>
            <sz val="10"/>
            <rFont val="Arial"/>
            <family val="2"/>
          </rPr>
          <t xml:space="preserve">40 mL </t>
        </r>
        <r>
          <rPr>
            <sz val="10"/>
            <rFont val="WenQuanYi Zen Hei"/>
            <family val="2"/>
          </rPr>
          <t xml:space="preserve">측정 도중 소량 흘림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실험자 기록</t>
        </r>
        <r>
          <rPr>
            <sz val="10"/>
            <rFont val="Arial"/>
            <family val="2"/>
          </rPr>
          <t xml:space="preserve">)</t>
        </r>
      </text>
    </comment>
  </commentList>
</comments>
</file>

<file path=xl/sharedStrings.xml><?xml version="1.0" encoding="utf-8"?>
<sst xmlns="http://schemas.openxmlformats.org/spreadsheetml/2006/main" count="21" uniqueCount="21">
  <si>
    <r>
      <rPr>
        <b val="true"/>
        <sz val="12"/>
        <rFont val="Arial"/>
        <family val="0"/>
        <charset val="1"/>
      </rPr>
      <t xml:space="preserve">Table I. 50 mL </t>
    </r>
    <r>
      <rPr>
        <b val="true"/>
        <sz val="12"/>
        <rFont val="WenQuanYi Zen Hei"/>
        <family val="2"/>
      </rPr>
      <t xml:space="preserve">뷰렛의 검정 결과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WenQuanYi Zen Hei"/>
        <family val="2"/>
      </rPr>
      <t xml:space="preserve">수온 </t>
    </r>
    <r>
      <rPr>
        <b val="true"/>
        <sz val="12"/>
        <rFont val="Arial"/>
        <family val="0"/>
        <charset val="1"/>
      </rPr>
      <t xml:space="preserve">19.0 °C, 1</t>
    </r>
    <r>
      <rPr>
        <b val="true"/>
        <sz val="12"/>
        <rFont val="WenQuanYi Zen Hei"/>
        <family val="2"/>
      </rPr>
      <t xml:space="preserve">회 측정</t>
    </r>
    <r>
      <rPr>
        <b val="true"/>
        <sz val="12"/>
        <rFont val="Arial"/>
        <family val="0"/>
        <charset val="1"/>
      </rPr>
      <t xml:space="preserve">)</t>
    </r>
  </si>
  <si>
    <r>
      <rPr>
        <b val="true"/>
        <sz val="11"/>
        <rFont val="WenQuanYi Zen Hei"/>
        <family val="2"/>
      </rPr>
      <t xml:space="preserve">수온 </t>
    </r>
    <r>
      <rPr>
        <b val="true"/>
        <sz val="11"/>
        <rFont val="Arial"/>
        <family val="0"/>
        <charset val="1"/>
      </rPr>
      <t xml:space="preserve">(°C)</t>
    </r>
  </si>
  <si>
    <r>
      <rPr>
        <b val="true"/>
        <sz val="11"/>
        <rFont val="WenQuanYi Zen Hei"/>
        <family val="2"/>
      </rPr>
      <t xml:space="preserve">물의 밀도 </t>
    </r>
    <r>
      <rPr>
        <b val="true"/>
        <sz val="11"/>
        <rFont val="Arial"/>
        <family val="0"/>
        <charset val="1"/>
      </rPr>
      <t xml:space="preserve">ρ (g/mL)</t>
    </r>
  </si>
  <si>
    <r>
      <rPr>
        <i val="true"/>
        <sz val="11"/>
        <color rgb="FF666666"/>
        <rFont val="WenQuanYi Zen Hei"/>
        <family val="2"/>
      </rPr>
      <t xml:space="preserve">유인물 </t>
    </r>
    <r>
      <rPr>
        <i val="true"/>
        <sz val="11"/>
        <color rgb="FF666666"/>
        <rFont val="Arial"/>
        <family val="0"/>
        <charset val="1"/>
      </rPr>
      <t xml:space="preserve">5</t>
    </r>
    <r>
      <rPr>
        <i val="true"/>
        <sz val="11"/>
        <color rgb="FF666666"/>
        <rFont val="WenQuanYi Zen Hei"/>
        <family val="2"/>
      </rPr>
      <t xml:space="preserve">쪽 </t>
    </r>
    <r>
      <rPr>
        <i val="true"/>
        <sz val="11"/>
        <color rgb="FF666666"/>
        <rFont val="Arial"/>
        <family val="0"/>
        <charset val="1"/>
      </rPr>
      <t xml:space="preserve">Table 1.2 (19.0 °C)</t>
    </r>
  </si>
  <si>
    <r>
      <rPr>
        <b val="true"/>
        <sz val="11"/>
        <rFont val="WenQuanYi Zen Hei"/>
        <family val="2"/>
      </rPr>
      <t xml:space="preserve">뷰렛 눈금 </t>
    </r>
    <r>
      <rPr>
        <b val="true"/>
        <sz val="11"/>
        <rFont val="Arial"/>
        <family val="0"/>
        <charset val="1"/>
      </rPr>
      <t xml:space="preserve">(mL)</t>
    </r>
  </si>
  <si>
    <r>
      <rPr>
        <b val="true"/>
        <sz val="11"/>
        <rFont val="WenQuanYi Zen Hei"/>
        <family val="2"/>
      </rPr>
      <t xml:space="preserve">플라스크 </t>
    </r>
    <r>
      <rPr>
        <b val="true"/>
        <sz val="11"/>
        <rFont val="Arial"/>
        <family val="0"/>
        <charset val="1"/>
      </rPr>
      <t xml:space="preserve">+ </t>
    </r>
    <r>
      <rPr>
        <b val="true"/>
        <sz val="11"/>
        <rFont val="WenQuanYi Zen Hei"/>
        <family val="2"/>
      </rPr>
      <t xml:space="preserve">물 </t>
    </r>
    <r>
      <rPr>
        <b val="true"/>
        <sz val="11"/>
        <rFont val="Arial"/>
        <family val="0"/>
        <charset val="1"/>
      </rPr>
      <t xml:space="preserve">(g)</t>
    </r>
  </si>
  <si>
    <r>
      <rPr>
        <b val="true"/>
        <sz val="11"/>
        <rFont val="WenQuanYi Zen Hei"/>
        <family val="2"/>
      </rPr>
      <t xml:space="preserve">물 무게 </t>
    </r>
    <r>
      <rPr>
        <b val="true"/>
        <sz val="11"/>
        <rFont val="Arial"/>
        <family val="0"/>
        <charset val="1"/>
      </rPr>
      <t xml:space="preserve">(g)</t>
    </r>
  </si>
  <si>
    <r>
      <rPr>
        <b val="true"/>
        <sz val="11"/>
        <rFont val="WenQuanYi Zen Hei"/>
        <family val="2"/>
      </rPr>
      <t xml:space="preserve">실제 부피 </t>
    </r>
    <r>
      <rPr>
        <b val="true"/>
        <sz val="11"/>
        <rFont val="Arial"/>
        <family val="0"/>
        <charset val="1"/>
      </rPr>
      <t xml:space="preserve">(mL)</t>
    </r>
  </si>
  <si>
    <r>
      <rPr>
        <b val="true"/>
        <sz val="11"/>
        <rFont val="WenQuanYi Zen Hei"/>
        <family val="2"/>
      </rPr>
      <t xml:space="preserve">보정치 </t>
    </r>
    <r>
      <rPr>
        <b val="true"/>
        <sz val="11"/>
        <rFont val="Arial"/>
        <family val="0"/>
        <charset val="1"/>
      </rPr>
      <t xml:space="preserve">(mL)</t>
    </r>
  </si>
  <si>
    <r>
      <rPr>
        <b val="true"/>
        <sz val="11"/>
        <rFont val="WenQuanYi Zen Hei"/>
        <family val="2"/>
      </rPr>
      <t xml:space="preserve">구간별 보정치 </t>
    </r>
    <r>
      <rPr>
        <b val="true"/>
        <sz val="11"/>
        <rFont val="Arial"/>
        <family val="0"/>
        <charset val="1"/>
      </rPr>
      <t xml:space="preserve">(Table II)</t>
    </r>
  </si>
  <si>
    <r>
      <rPr>
        <b val="true"/>
        <sz val="11"/>
        <rFont val="WenQuanYi Zen Hei"/>
        <family val="2"/>
      </rPr>
      <t xml:space="preserve">구간 </t>
    </r>
    <r>
      <rPr>
        <b val="true"/>
        <sz val="11"/>
        <rFont val="Arial"/>
        <family val="0"/>
        <charset val="1"/>
      </rPr>
      <t xml:space="preserve">(mL)</t>
    </r>
  </si>
  <si>
    <r>
      <rPr>
        <b val="true"/>
        <sz val="11"/>
        <rFont val="WenQuanYi Zen Hei"/>
        <family val="2"/>
      </rPr>
      <t xml:space="preserve">눈금 차 </t>
    </r>
    <r>
      <rPr>
        <b val="true"/>
        <sz val="11"/>
        <rFont val="Arial"/>
        <family val="0"/>
        <charset val="1"/>
      </rPr>
      <t xml:space="preserve">(mL)</t>
    </r>
  </si>
  <si>
    <r>
      <rPr>
        <b val="true"/>
        <sz val="11"/>
        <rFont val="WenQuanYi Zen Hei"/>
        <family val="2"/>
      </rPr>
      <t xml:space="preserve">실제 부피 차 </t>
    </r>
    <r>
      <rPr>
        <b val="true"/>
        <sz val="11"/>
        <rFont val="Arial"/>
        <family val="0"/>
        <charset val="1"/>
      </rPr>
      <t xml:space="preserve">(mL)</t>
    </r>
  </si>
  <si>
    <r>
      <rPr>
        <b val="true"/>
        <sz val="11"/>
        <rFont val="WenQuanYi Zen Hei"/>
        <family val="2"/>
      </rPr>
      <t xml:space="preserve">구간 보정치 </t>
    </r>
    <r>
      <rPr>
        <b val="true"/>
        <sz val="11"/>
        <rFont val="Arial"/>
        <family val="0"/>
        <charset val="1"/>
      </rPr>
      <t xml:space="preserve">(mL)</t>
    </r>
  </si>
  <si>
    <t xml:space="preserve">판정</t>
  </si>
  <si>
    <t xml:space="preserve">보정치 범위</t>
  </si>
  <si>
    <r>
      <rPr>
        <i val="true"/>
        <sz val="11"/>
        <color rgb="FF666666"/>
        <rFont val="WenQuanYi Zen Hei"/>
        <family val="2"/>
      </rPr>
      <t xml:space="preserve">파란 글자 </t>
    </r>
    <r>
      <rPr>
        <i val="true"/>
        <sz val="11"/>
        <color rgb="FF666666"/>
        <rFont val="Arial"/>
        <family val="0"/>
        <charset val="1"/>
      </rPr>
      <t xml:space="preserve">= </t>
    </r>
    <r>
      <rPr>
        <i val="true"/>
        <sz val="11"/>
        <color rgb="FF666666"/>
        <rFont val="WenQuanYi Zen Hei"/>
        <family val="2"/>
      </rPr>
      <t xml:space="preserve">측정값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WenQuanYi Zen Hei"/>
        <family val="2"/>
      </rPr>
      <t xml:space="preserve">입력</t>
    </r>
    <r>
      <rPr>
        <i val="true"/>
        <sz val="11"/>
        <color rgb="FF666666"/>
        <rFont val="Arial"/>
        <family val="0"/>
        <charset val="1"/>
      </rPr>
      <t xml:space="preserve">), </t>
    </r>
    <r>
      <rPr>
        <i val="true"/>
        <sz val="11"/>
        <color rgb="FF666666"/>
        <rFont val="WenQuanYi Zen Hei"/>
        <family val="2"/>
      </rPr>
      <t xml:space="preserve">검은 글자 </t>
    </r>
    <r>
      <rPr>
        <i val="true"/>
        <sz val="11"/>
        <color rgb="FF666666"/>
        <rFont val="Arial"/>
        <family val="0"/>
        <charset val="1"/>
      </rPr>
      <t xml:space="preserve">= </t>
    </r>
    <r>
      <rPr>
        <i val="true"/>
        <sz val="11"/>
        <color rgb="FF666666"/>
        <rFont val="WenQuanYi Zen Hei"/>
        <family val="2"/>
      </rPr>
      <t xml:space="preserve">수식</t>
    </r>
    <r>
      <rPr>
        <i val="true"/>
        <sz val="11"/>
        <color rgb="FF666666"/>
        <rFont val="Arial"/>
        <family val="0"/>
        <charset val="1"/>
      </rPr>
      <t xml:space="preserve">. </t>
    </r>
    <r>
      <rPr>
        <i val="true"/>
        <sz val="11"/>
        <color rgb="FF666666"/>
        <rFont val="WenQuanYi Zen Hei"/>
        <family val="2"/>
      </rPr>
      <t xml:space="preserve">물 무게 </t>
    </r>
    <r>
      <rPr>
        <i val="true"/>
        <sz val="11"/>
        <color rgb="FF666666"/>
        <rFont val="Arial"/>
        <family val="0"/>
        <charset val="1"/>
      </rPr>
      <t xml:space="preserve">= </t>
    </r>
    <r>
      <rPr>
        <i val="true"/>
        <sz val="11"/>
        <color rgb="FF666666"/>
        <rFont val="WenQuanYi Zen Hei"/>
        <family val="2"/>
      </rPr>
      <t xml:space="preserve">총무게 − 빈 플라스크</t>
    </r>
    <r>
      <rPr>
        <i val="true"/>
        <sz val="11"/>
        <color rgb="FF666666"/>
        <rFont val="Arial"/>
        <family val="0"/>
        <charset val="1"/>
      </rPr>
      <t xml:space="preserve">, </t>
    </r>
    <r>
      <rPr>
        <i val="true"/>
        <sz val="11"/>
        <color rgb="FF666666"/>
        <rFont val="WenQuanYi Zen Hei"/>
        <family val="2"/>
      </rPr>
      <t xml:space="preserve">실제 부피 </t>
    </r>
    <r>
      <rPr>
        <i val="true"/>
        <sz val="11"/>
        <color rgb="FF666666"/>
        <rFont val="Arial"/>
        <family val="0"/>
        <charset val="1"/>
      </rPr>
      <t xml:space="preserve">= </t>
    </r>
    <r>
      <rPr>
        <i val="true"/>
        <sz val="11"/>
        <color rgb="FF666666"/>
        <rFont val="WenQuanYi Zen Hei"/>
        <family val="2"/>
      </rPr>
      <t xml:space="preserve">물 무게 </t>
    </r>
    <r>
      <rPr>
        <i val="true"/>
        <sz val="11"/>
        <color rgb="FF666666"/>
        <rFont val="Arial"/>
        <family val="0"/>
        <charset val="1"/>
      </rPr>
      <t xml:space="preserve">÷ ρ, </t>
    </r>
    <r>
      <rPr>
        <i val="true"/>
        <sz val="11"/>
        <color rgb="FF666666"/>
        <rFont val="WenQuanYi Zen Hei"/>
        <family val="2"/>
      </rPr>
      <t xml:space="preserve">보정치 </t>
    </r>
    <r>
      <rPr>
        <i val="true"/>
        <sz val="11"/>
        <color rgb="FF666666"/>
        <rFont val="Arial"/>
        <family val="0"/>
        <charset val="1"/>
      </rPr>
      <t xml:space="preserve">= </t>
    </r>
    <r>
      <rPr>
        <i val="true"/>
        <sz val="11"/>
        <color rgb="FF666666"/>
        <rFont val="WenQuanYi Zen Hei"/>
        <family val="2"/>
      </rPr>
      <t xml:space="preserve">실제 부피 − 눈금</t>
    </r>
    <r>
      <rPr>
        <i val="true"/>
        <sz val="11"/>
        <color rgb="FF666666"/>
        <rFont val="Arial"/>
        <family val="0"/>
        <charset val="1"/>
      </rPr>
      <t xml:space="preserve">.</t>
    </r>
  </si>
  <si>
    <t xml:space="preserve">그래프용 허용오차 선</t>
  </si>
  <si>
    <t xml:space="preserve">x (mL)</t>
  </si>
  <si>
    <t xml:space="preserve">+0.10</t>
  </si>
  <si>
    <t xml:space="preserve">-0.10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</si>
</sst>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0.00000"/>
    <numFmt numFmtId="167" formatCode="0.00"/>
    <numFmt numFmtId="168" formatCode="0.0000"/>
    <numFmt numFmtId="169" formatCode="\+0.00;\-0.00;0.00"/>
    <numFmt numFmtId="170" formatCode="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2"/>
      <name val="WenQuanYi Zen Hei"/>
      <family val="2"/>
    </font>
    <font>
      <b val="true"/>
      <sz val="11"/>
      <name val="WenQuanYi Zen Hei"/>
      <family val="2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666666"/>
      <name val="WenQuanYi Zen Hei"/>
      <family val="2"/>
    </font>
    <font>
      <i val="true"/>
      <sz val="11"/>
      <color rgb="FF666666"/>
      <name val="Arial"/>
      <family val="0"/>
      <charset val="1"/>
    </font>
    <font>
      <sz val="11"/>
      <name val="Arial"/>
      <family val="0"/>
      <charset val="1"/>
    </font>
    <font>
      <sz val="11"/>
      <name val="WenQuanYi Zen Hei"/>
      <family val="2"/>
    </font>
    <font>
      <sz val="11"/>
      <color rgb="FF666666"/>
      <name val="Arial"/>
      <family val="0"/>
      <charset val="1"/>
    </font>
    <font>
      <sz val="10"/>
      <name val="Arial"/>
      <family val="2"/>
    </font>
    <font>
      <sz val="10"/>
      <name val="WenQuanYi Zen Hei"/>
      <family val="2"/>
    </font>
    <font>
      <b val="true"/>
      <sz val="18"/>
      <color rgb="FF000000"/>
      <name val="Calibri"/>
      <family val="2"/>
    </font>
    <font>
      <b val="true"/>
      <sz val="18"/>
      <color rgb="FF000000"/>
      <name val="WenQuanYi Zen Hei"/>
      <family val="2"/>
    </font>
    <font>
      <sz val="10"/>
      <color rgb="FF000000"/>
      <name val="Calibri"/>
      <family val="2"/>
    </font>
    <font>
      <b val="true"/>
      <sz val="10"/>
      <color rgb="FF000000"/>
      <name val="WenQuanYi Zen He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F0F8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F0F8"/>
      <rgbColor rgb="FFFF0000"/>
      <rgbColor rgb="FF00FF00"/>
      <rgbColor rgb="FF0000FF"/>
      <rgbColor rgb="FFFFFF00"/>
      <rgbColor rgb="FFFF00FF"/>
      <rgbColor rgb="FF00FFFF"/>
      <rgbColor rgb="FF800000"/>
      <rgbColor rgb="FF1F7A3F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651C8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Figure 1. 50 mL 뷰렛의 검정곡선 (19.0 °C)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'Table I'!E5</c:f>
              <c:strCache>
                <c:ptCount val="1"/>
                <c:pt idx="0">
                  <c:v>보정치 (mL)</c:v>
                </c:pt>
              </c:strCache>
            </c:strRef>
          </c:tx>
          <c:spPr>
            <a:solidFill>
              <a:srgbClr val="4651c8"/>
            </a:solidFill>
            <a:ln w="21960">
              <a:solidFill>
                <a:srgbClr val="4651c8"/>
              </a:solidFill>
              <a:round/>
            </a:ln>
          </c:spPr>
          <c:marker>
            <c:symbol val="circle"/>
            <c:size val="7"/>
            <c:spPr>
              <a:solidFill>
                <a:srgbClr val="4651c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'Table I'!$A$6:$A$11</c:f>
              <c:numCache>
                <c:formatCode>0.00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39.98</c:v>
                </c:pt>
                <c:pt idx="5">
                  <c:v>50</c:v>
                </c:pt>
              </c:numCache>
            </c:numRef>
          </c:xVal>
          <c:yVal>
            <c:numRef>
              <c:f>'Table I'!$E$6:$E$11</c:f>
              <c:numCache>
                <c:formatCode>\+0.00;\-0.00;0.00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0.03</c:v>
                </c:pt>
                <c:pt idx="4">
                  <c:v>-0.04</c:v>
                </c:pt>
                <c:pt idx="5">
                  <c:v>-0.08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"허용오차 +0.10"</c:f>
              <c:strCache>
                <c:ptCount val="1"/>
                <c:pt idx="0">
                  <c:v>허용오차 +0.10</c:v>
                </c:pt>
              </c:strCache>
            </c:strRef>
          </c:tx>
          <c:spPr>
            <a:solidFill>
              <a:srgbClr val="1f7a3f"/>
            </a:solidFill>
            <a:ln w="15120">
              <a:solidFill>
                <a:srgbClr val="1f7a3f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'Table I'!$B$27:$C$27</c:f>
              <c:numCache>
                <c:formatCode>General</c:formatCode>
                <c:ptCount val="2"/>
                <c:pt idx="0">
                  <c:v>0</c:v>
                </c:pt>
                <c:pt idx="1">
                  <c:v>50</c:v>
                </c:pt>
              </c:numCache>
            </c:numRef>
          </c:xVal>
          <c:yVal>
            <c:numRef>
              <c:f>'Table I'!$B$28:$C$28</c:f>
              <c:numCache>
                <c:formatCode>General</c:formatCode>
                <c:ptCount val="2"/>
                <c:pt idx="0">
                  <c:v>0.1</c:v>
                </c:pt>
                <c:pt idx="1">
                  <c:v>0.1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"허용오차 -0.10"</c:f>
              <c:strCache>
                <c:ptCount val="1"/>
                <c:pt idx="0">
                  <c:v>허용오차 -0.10</c:v>
                </c:pt>
              </c:strCache>
            </c:strRef>
          </c:tx>
          <c:spPr>
            <a:solidFill>
              <a:srgbClr val="1f7a3f"/>
            </a:solidFill>
            <a:ln w="15120">
              <a:solidFill>
                <a:srgbClr val="1f7a3f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'Table I'!$B$27:$C$27</c:f>
              <c:numCache>
                <c:formatCode>General</c:formatCode>
                <c:ptCount val="2"/>
                <c:pt idx="0">
                  <c:v>0</c:v>
                </c:pt>
                <c:pt idx="1">
                  <c:v>50</c:v>
                </c:pt>
              </c:numCache>
            </c:numRef>
          </c:xVal>
          <c:yVal>
            <c:numRef>
              <c:f>'Table I'!$B$29:$C$29</c:f>
              <c:numCache>
                <c:formatCode>General</c:formatCode>
                <c:ptCount val="2"/>
                <c:pt idx="0">
                  <c:v>-0.1</c:v>
                </c:pt>
                <c:pt idx="1">
                  <c:v>-0.1</c:v>
                </c:pt>
              </c:numCache>
            </c:numRef>
          </c:yVal>
          <c:smooth val="0"/>
        </c:ser>
        <c:axId val="33335597"/>
        <c:axId val="24067519"/>
      </c:scatterChart>
      <c:valAx>
        <c:axId val="33335597"/>
        <c:scaling>
          <c:orientation val="minMax"/>
          <c:max val="5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뷰렛 눈금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067519"/>
        <c:crosses val="autoZero"/>
        <c:crossBetween val="midCat"/>
        <c:majorUnit val="10"/>
      </c:valAx>
      <c:valAx>
        <c:axId val="24067519"/>
        <c:scaling>
          <c:orientation val="minMax"/>
          <c:max val="0.12"/>
          <c:min val="-0.12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보정치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+0.00;\-0.00;0.00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335597"/>
        <c:crosses val="autoZero"/>
        <c:crossBetween val="midCat"/>
        <c:majorUnit val="0.02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0</xdr:row>
      <xdr:rowOff>190440</xdr:rowOff>
    </xdr:from>
    <xdr:to>
      <xdr:col>15</xdr:col>
      <xdr:colOff>255960</xdr:colOff>
      <xdr:row>16</xdr:row>
      <xdr:rowOff>13680</xdr:rowOff>
    </xdr:to>
    <xdr:graphicFrame>
      <xdr:nvGraphicFramePr>
        <xdr:cNvPr id="0" name="Chart 1"/>
        <xdr:cNvGraphicFramePr/>
      </xdr:nvGraphicFramePr>
      <xdr:xfrm>
        <a:off x="681408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7"/>
    <col collapsed="false" customWidth="true" hidden="false" outlineLevel="0" max="5" min="5" style="0" width="16"/>
  </cols>
  <sheetData>
    <row r="1" customFormat="false" ht="16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n">
        <v>19</v>
      </c>
    </row>
    <row r="3" customFormat="false" ht="15" hidden="false" customHeight="false" outlineLevel="0" collapsed="false">
      <c r="A3" s="2" t="s">
        <v>2</v>
      </c>
      <c r="B3" s="4" t="n">
        <v>0.99842</v>
      </c>
      <c r="C3" s="5" t="s">
        <v>3</v>
      </c>
    </row>
    <row r="5" customFormat="false" ht="30" hidden="false" customHeight="true" outlineLevel="0" collapsed="false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</row>
    <row r="6" customFormat="false" ht="15" hidden="false" customHeight="false" outlineLevel="0" collapsed="false">
      <c r="A6" s="7" t="n">
        <v>0</v>
      </c>
      <c r="B6" s="8" t="n">
        <v>59.055</v>
      </c>
      <c r="C6" s="9" t="n">
        <f aca="false">B6-$B$6</f>
        <v>0</v>
      </c>
      <c r="D6" s="10" t="n">
        <f aca="false">ROUND(C6/$B$3,2)</f>
        <v>0</v>
      </c>
      <c r="E6" s="11" t="n">
        <f aca="false">ROUND(D6-A6,2)</f>
        <v>0</v>
      </c>
    </row>
    <row r="7" customFormat="false" ht="15" hidden="false" customHeight="false" outlineLevel="0" collapsed="false">
      <c r="A7" s="7" t="n">
        <v>10</v>
      </c>
      <c r="B7" s="8" t="n">
        <v>69.039</v>
      </c>
      <c r="C7" s="9" t="n">
        <f aca="false">B7-$B$6</f>
        <v>9.984</v>
      </c>
      <c r="D7" s="10" t="n">
        <f aca="false">ROUND(C7/$B$3,2)</f>
        <v>10</v>
      </c>
      <c r="E7" s="11" t="n">
        <f aca="false">ROUND(D7-A7,2)</f>
        <v>0</v>
      </c>
    </row>
    <row r="8" customFormat="false" ht="15" hidden="false" customHeight="false" outlineLevel="0" collapsed="false">
      <c r="A8" s="7" t="n">
        <v>20</v>
      </c>
      <c r="B8" s="8" t="n">
        <v>79.0397</v>
      </c>
      <c r="C8" s="9" t="n">
        <f aca="false">B8-$B$6</f>
        <v>19.9847</v>
      </c>
      <c r="D8" s="10" t="n">
        <f aca="false">ROUND(C8/$B$3,2)</f>
        <v>20.02</v>
      </c>
      <c r="E8" s="11" t="n">
        <f aca="false">ROUND(D8-A8,2)</f>
        <v>0.02</v>
      </c>
    </row>
    <row r="9" customFormat="false" ht="15" hidden="false" customHeight="false" outlineLevel="0" collapsed="false">
      <c r="A9" s="7" t="n">
        <v>30</v>
      </c>
      <c r="B9" s="8" t="n">
        <v>89.0361</v>
      </c>
      <c r="C9" s="9" t="n">
        <f aca="false">B9-$B$6</f>
        <v>29.9811</v>
      </c>
      <c r="D9" s="10" t="n">
        <f aca="false">ROUND(C9/$B$3,2)</f>
        <v>30.03</v>
      </c>
      <c r="E9" s="11" t="n">
        <f aca="false">ROUND(D9-A9,2)</f>
        <v>0.03</v>
      </c>
    </row>
    <row r="10" customFormat="false" ht="15" hidden="false" customHeight="false" outlineLevel="0" collapsed="false">
      <c r="A10" s="7" t="n">
        <v>39.98</v>
      </c>
      <c r="B10" s="8" t="n">
        <v>98.9286</v>
      </c>
      <c r="C10" s="9" t="n">
        <f aca="false">B10-$B$6</f>
        <v>39.8736</v>
      </c>
      <c r="D10" s="10" t="n">
        <f aca="false">ROUND(C10/$B$3,2)</f>
        <v>39.94</v>
      </c>
      <c r="E10" s="11" t="n">
        <f aca="false">ROUND(D10-A10,2)</f>
        <v>-0.04</v>
      </c>
    </row>
    <row r="11" customFormat="false" ht="15" hidden="false" customHeight="false" outlineLevel="0" collapsed="false">
      <c r="A11" s="7" t="n">
        <v>50</v>
      </c>
      <c r="B11" s="8" t="n">
        <v>108.897</v>
      </c>
      <c r="C11" s="9" t="n">
        <f aca="false">B11-$B$6</f>
        <v>49.842</v>
      </c>
      <c r="D11" s="10" t="n">
        <f aca="false">ROUND(C11/$B$3,2)</f>
        <v>49.92</v>
      </c>
      <c r="E11" s="11" t="n">
        <f aca="false">ROUND(D11-A11,2)</f>
        <v>-0.08</v>
      </c>
    </row>
    <row r="13" customFormat="false" ht="15" hidden="false" customHeight="false" outlineLevel="0" collapsed="false">
      <c r="A13" s="2" t="s">
        <v>9</v>
      </c>
    </row>
    <row r="14" customFormat="false" ht="27.6" hidden="false" customHeight="false" outlineLevel="0" collapsed="false">
      <c r="A14" s="6" t="s">
        <v>10</v>
      </c>
      <c r="B14" s="6" t="s">
        <v>11</v>
      </c>
      <c r="C14" s="6" t="s">
        <v>12</v>
      </c>
      <c r="D14" s="6" t="s">
        <v>13</v>
      </c>
    </row>
    <row r="15" customFormat="false" ht="15" hidden="false" customHeight="false" outlineLevel="0" collapsed="false">
      <c r="A15" s="12" t="str">
        <f aca="false">TEXT(A6,"0")&amp;" → "&amp;TEXT(A7,"0")</f>
        <v>0 → 10</v>
      </c>
      <c r="B15" s="10" t="n">
        <f aca="false">A7-A6</f>
        <v>10</v>
      </c>
      <c r="C15" s="10" t="n">
        <f aca="false">D7-D6</f>
        <v>10</v>
      </c>
      <c r="D15" s="11" t="n">
        <f aca="false">ROUND(C15-B15,2)</f>
        <v>0</v>
      </c>
    </row>
    <row r="16" customFormat="false" ht="15" hidden="false" customHeight="false" outlineLevel="0" collapsed="false">
      <c r="A16" s="12" t="str">
        <f aca="false">TEXT(A7,"0")&amp;" → "&amp;TEXT(A8,"0")</f>
        <v>10 → 20</v>
      </c>
      <c r="B16" s="10" t="n">
        <f aca="false">A8-A7</f>
        <v>10</v>
      </c>
      <c r="C16" s="10" t="n">
        <f aca="false">D8-D7</f>
        <v>10.02</v>
      </c>
      <c r="D16" s="11" t="n">
        <f aca="false">ROUND(C16-B16,2)</f>
        <v>0.02</v>
      </c>
    </row>
    <row r="17" customFormat="false" ht="15" hidden="false" customHeight="false" outlineLevel="0" collapsed="false">
      <c r="A17" s="12" t="str">
        <f aca="false">TEXT(A8,"0")&amp;" → "&amp;TEXT(A9,"0")</f>
        <v>20 → 30</v>
      </c>
      <c r="B17" s="10" t="n">
        <f aca="false">A9-A8</f>
        <v>10</v>
      </c>
      <c r="C17" s="10" t="n">
        <f aca="false">D9-D8</f>
        <v>10.01</v>
      </c>
      <c r="D17" s="11" t="n">
        <f aca="false">ROUND(C17-B17,2)</f>
        <v>0.01</v>
      </c>
    </row>
    <row r="18" customFormat="false" ht="15" hidden="false" customHeight="false" outlineLevel="0" collapsed="false">
      <c r="A18" s="12" t="str">
        <f aca="false">TEXT(A9,"0")&amp;" → "&amp;TEXT(A10,"0")</f>
        <v>30 → 40</v>
      </c>
      <c r="B18" s="10" t="n">
        <f aca="false">A10-A9</f>
        <v>9.98</v>
      </c>
      <c r="C18" s="10" t="n">
        <f aca="false">D10-D9</f>
        <v>9.91</v>
      </c>
      <c r="D18" s="11" t="n">
        <f aca="false">ROUND(C18-B18,2)</f>
        <v>-0.07</v>
      </c>
    </row>
    <row r="19" customFormat="false" ht="15" hidden="false" customHeight="false" outlineLevel="0" collapsed="false">
      <c r="A19" s="12" t="str">
        <f aca="false">TEXT(A10,"0")&amp;" → "&amp;TEXT(A11,"0")</f>
        <v>40 → 50</v>
      </c>
      <c r="B19" s="10" t="n">
        <f aca="false">A11-A10</f>
        <v>10.02</v>
      </c>
      <c r="C19" s="10" t="n">
        <f aca="false">D11-D10</f>
        <v>9.98</v>
      </c>
      <c r="D19" s="11" t="n">
        <f aca="false">ROUND(C19-B19,2)</f>
        <v>-0.04</v>
      </c>
    </row>
    <row r="21" customFormat="false" ht="15" hidden="false" customHeight="false" outlineLevel="0" collapsed="false">
      <c r="A21" s="2" t="s">
        <v>14</v>
      </c>
      <c r="B21" s="13" t="str">
        <f aca="false">IF(MAX(ABS(MAX(E6:E11)),ABS(MIN(E6:E11)))&lt;=0.1,"모든 보정치가 ±0.1 mL 이내 → 허용오차 만족","±0.1 mL 초과 구간 있음")</f>
        <v>모든 보정치가 ±0.1 mL 이내 → 허용오차 만족</v>
      </c>
    </row>
    <row r="22" customFormat="false" ht="15" hidden="false" customHeight="false" outlineLevel="0" collapsed="false">
      <c r="A22" s="2" t="s">
        <v>15</v>
      </c>
      <c r="B22" s="13" t="str">
        <f aca="false">TEXT(MIN(E6:E11),"+0.00;-0.00;0.00")&amp;" ~ "&amp;TEXT(MAX(E6:E11),"+0.00;-0.00;0.00")&amp;" mL"</f>
        <v>-0.08 ~ +0.03 mL</v>
      </c>
    </row>
    <row r="24" customFormat="false" ht="15" hidden="false" customHeight="false" outlineLevel="0" collapsed="false">
      <c r="A24" s="5" t="s">
        <v>16</v>
      </c>
    </row>
    <row r="26" customFormat="false" ht="15" hidden="false" customHeight="false" outlineLevel="0" collapsed="false">
      <c r="A26" s="2" t="s">
        <v>17</v>
      </c>
    </row>
    <row r="27" customFormat="false" ht="15" hidden="false" customHeight="false" outlineLevel="0" collapsed="false">
      <c r="A27" s="14" t="s">
        <v>18</v>
      </c>
      <c r="B27" s="14" t="n">
        <v>0</v>
      </c>
      <c r="C27" s="14" t="n">
        <v>50</v>
      </c>
    </row>
    <row r="28" customFormat="false" ht="15" hidden="false" customHeight="false" outlineLevel="0" collapsed="false">
      <c r="A28" s="14" t="s">
        <v>19</v>
      </c>
      <c r="B28" s="14" t="n">
        <v>0.1</v>
      </c>
      <c r="C28" s="14" t="n">
        <v>0.1</v>
      </c>
    </row>
    <row r="29" customFormat="false" ht="15" hidden="false" customHeight="false" outlineLevel="0" collapsed="false">
      <c r="A29" s="14" t="s">
        <v>20</v>
      </c>
      <c r="B29" s="14" t="n">
        <v>-0.1</v>
      </c>
      <c r="C29" s="14" t="n">
        <v>-0.1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2026-10-30T03:22:55Z</dcterms:created>
  <dc:creator>openpyxl</dc:creator>
  <dc:description/>
  <dc:language>en-US</dc:language>
  <cp:lastModifiedBy/>
  <dcterms:modified xsi:type="dcterms:W3CDTF">2026-10-30T03:22:56Z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